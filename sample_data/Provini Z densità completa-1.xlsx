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CBE3411D-C60D-41A4-B70A-A2CA4D6009AF}" xr6:coauthVersionLast="47" xr6:coauthVersionMax="47" xr10:uidLastSave="{00000000-0000-0000-0000-000000000000}"/>
  <bookViews>
    <workbookView xWindow="-23148" yWindow="-108" windowWidth="23256" windowHeight="12456" xr2:uid="{EC4D0F7B-3539-41CC-BBDF-38634750352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29" i="1"/>
  <c r="C28" i="1"/>
  <c r="C27" i="1"/>
  <c r="C25" i="1"/>
  <c r="C22" i="1"/>
  <c r="C38" i="1"/>
  <c r="C37" i="1"/>
  <c r="C36" i="1"/>
  <c r="C35" i="1"/>
  <c r="C34" i="1"/>
  <c r="C33" i="1"/>
  <c r="C32" i="1"/>
  <c r="C31" i="1"/>
  <c r="C30" i="1"/>
  <c r="C26" i="1"/>
  <c r="C24" i="1"/>
  <c r="C23" i="1"/>
  <c r="C21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carrano</author>
  </authors>
  <commentList>
    <comment ref="A20" authorId="0" shapeId="0" xr:uid="{BC7B8C72-DB98-4F1C-86C8-68B4EF86EF52}">
      <text>
        <r>
          <rPr>
            <b/>
            <sz val="9"/>
            <color indexed="81"/>
            <rFont val="Tahoma"/>
            <family val="2"/>
          </rPr>
          <t>andrea carrano:</t>
        </r>
        <r>
          <rPr>
            <sz val="9"/>
            <color indexed="81"/>
            <rFont val="Tahoma"/>
            <family val="2"/>
          </rPr>
          <t xml:space="preserve">
Velocità di stampa:
 2520 mm/min</t>
        </r>
      </text>
    </comment>
    <comment ref="A22" authorId="0" shapeId="0" xr:uid="{044FD1FD-F0CC-4CC6-A72D-09CAE0559577}">
      <text>
        <r>
          <rPr>
            <b/>
            <sz val="9"/>
            <color indexed="81"/>
            <rFont val="Tahoma"/>
            <family val="2"/>
          </rPr>
          <t>andrea carrano:</t>
        </r>
        <r>
          <rPr>
            <sz val="9"/>
            <color indexed="81"/>
            <rFont val="Tahoma"/>
            <family val="2"/>
          </rPr>
          <t xml:space="preserve">
2400 campione doppio</t>
        </r>
      </text>
    </comment>
    <comment ref="A33" authorId="0" shapeId="0" xr:uid="{08B954E2-0314-4015-9C4C-BC87FA28C30C}">
      <text>
        <r>
          <rPr>
            <b/>
            <sz val="9"/>
            <color indexed="81"/>
            <rFont val="Tahoma"/>
            <family val="2"/>
          </rPr>
          <t>andrea carrano:</t>
        </r>
        <r>
          <rPr>
            <sz val="9"/>
            <color indexed="81"/>
            <rFont val="Tahoma"/>
            <family val="2"/>
          </rPr>
          <t xml:space="preserve">
Velocità di stampa:
 2520 mm/min</t>
        </r>
      </text>
    </comment>
  </commentList>
</comments>
</file>

<file path=xl/sharedStrings.xml><?xml version="1.0" encoding="utf-8"?>
<sst xmlns="http://schemas.openxmlformats.org/spreadsheetml/2006/main" count="5" uniqueCount="5">
  <si>
    <t>D</t>
  </si>
  <si>
    <t>ME</t>
  </si>
  <si>
    <t>RC</t>
  </si>
  <si>
    <t>IT</t>
  </si>
  <si>
    <t>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</si>
</sst>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B479-3714-43C2-80CB-D3A46C22BEAF}">
  <dimension ref="A1:E39"/>
  <sheetViews>
    <sheetView tabSelected="1" zoomScale="85" zoomScaleNormal="85" workbookViewId="0">
      <selection activeCell="A7" activeCellId="1" sqref="A39:XFD39 A7:XFD7"/>
    </sheetView>
  </sheetViews>
  <sheetFormatPr defaultRowHeight="15" x14ac:dyDescent="0.25"/>
  <cols>
    <col min="1" max="5" width="25.7109375" customWidth="1"/>
  </cols>
  <sheetData>
    <row r="1" spans="1:5" x14ac:dyDescent="0.25">
      <c r="A1" s="1" t="s">
        <v>3</v>
      </c>
      <c r="B1" s="2" t="s">
        <v>2</v>
      </c>
      <c r="C1" s="2" t="s">
        <v>1</v>
      </c>
      <c r="D1" s="2" t="s">
        <v>0</v>
      </c>
      <c r="E1" s="2" t="s">
        <v>4</v>
      </c>
    </row>
    <row r="2" spans="1:5" x14ac:dyDescent="0.25">
      <c r="A2" s="3">
        <v>30</v>
      </c>
      <c r="B2" s="4">
        <v>32.58</v>
      </c>
      <c r="C2" s="4">
        <v>7.26</v>
      </c>
      <c r="D2" s="18">
        <v>1909.3511110330553</v>
      </c>
      <c r="E2" s="18">
        <v>40</v>
      </c>
    </row>
    <row r="3" spans="1:5" x14ac:dyDescent="0.25">
      <c r="A3" s="3">
        <v>30</v>
      </c>
      <c r="B3" s="4">
        <v>33.159999999999997</v>
      </c>
      <c r="C3" s="4">
        <v>7.07</v>
      </c>
      <c r="D3" s="18">
        <v>1906.3162795044377</v>
      </c>
      <c r="E3" s="18">
        <v>40</v>
      </c>
    </row>
    <row r="4" spans="1:5" x14ac:dyDescent="0.25">
      <c r="A4" s="3">
        <v>30</v>
      </c>
      <c r="B4" s="4">
        <v>31.73</v>
      </c>
      <c r="C4" s="4">
        <v>7.26</v>
      </c>
      <c r="D4" s="18">
        <v>1907.5695535927689</v>
      </c>
      <c r="E4" s="18">
        <v>40</v>
      </c>
    </row>
    <row r="5" spans="1:5" x14ac:dyDescent="0.25">
      <c r="A5" s="3">
        <v>30</v>
      </c>
      <c r="B5" s="4">
        <v>29.51</v>
      </c>
      <c r="C5" s="4">
        <v>7.19</v>
      </c>
      <c r="D5" s="18">
        <v>1903.7797331051086</v>
      </c>
      <c r="E5" s="18">
        <v>40</v>
      </c>
    </row>
    <row r="6" spans="1:5" x14ac:dyDescent="0.25">
      <c r="A6" s="3">
        <v>30</v>
      </c>
      <c r="B6" s="4">
        <v>19.329999999999998</v>
      </c>
      <c r="C6" s="4">
        <v>4.96</v>
      </c>
      <c r="D6" s="18">
        <v>1871.7234172065462</v>
      </c>
      <c r="E6" s="18">
        <v>40</v>
      </c>
    </row>
    <row r="7" spans="1:5" x14ac:dyDescent="0.25">
      <c r="A7" s="3">
        <v>30</v>
      </c>
      <c r="B7" s="4">
        <v>24.29</v>
      </c>
      <c r="C7" s="4">
        <v>7.34</v>
      </c>
      <c r="D7" s="22">
        <v>1876.8889476509871</v>
      </c>
      <c r="E7" s="18">
        <v>40</v>
      </c>
    </row>
    <row r="8" spans="1:5" x14ac:dyDescent="0.25">
      <c r="A8" s="3">
        <v>30</v>
      </c>
      <c r="B8" s="4">
        <v>44.01</v>
      </c>
      <c r="C8" s="5">
        <v>7.65</v>
      </c>
      <c r="D8" s="18">
        <v>2019.46</v>
      </c>
      <c r="E8" s="18">
        <v>60</v>
      </c>
    </row>
    <row r="9" spans="1:5" x14ac:dyDescent="0.25">
      <c r="A9" s="3">
        <v>30</v>
      </c>
      <c r="B9" s="4">
        <v>49.27</v>
      </c>
      <c r="C9" s="5">
        <v>8.4</v>
      </c>
      <c r="D9" s="18">
        <v>2058.21</v>
      </c>
      <c r="E9" s="18">
        <v>60</v>
      </c>
    </row>
    <row r="10" spans="1:5" x14ac:dyDescent="0.25">
      <c r="A10" s="3">
        <v>30</v>
      </c>
      <c r="B10" s="4">
        <v>46.25</v>
      </c>
      <c r="C10" s="5">
        <v>3.34</v>
      </c>
      <c r="D10" s="18">
        <v>1920.24</v>
      </c>
      <c r="E10" s="18">
        <v>60</v>
      </c>
    </row>
    <row r="11" spans="1:5" x14ac:dyDescent="0.25">
      <c r="A11" s="3">
        <v>27.69</v>
      </c>
      <c r="B11" s="4">
        <v>46.06</v>
      </c>
      <c r="C11" s="5">
        <v>9.06</v>
      </c>
      <c r="D11" s="18">
        <v>2034.95</v>
      </c>
      <c r="E11" s="18">
        <v>60</v>
      </c>
    </row>
    <row r="12" spans="1:5" x14ac:dyDescent="0.25">
      <c r="A12" s="3">
        <v>27.69</v>
      </c>
      <c r="B12" s="4">
        <v>47.1</v>
      </c>
      <c r="C12" s="5">
        <v>8.5</v>
      </c>
      <c r="D12" s="18">
        <v>2025.91</v>
      </c>
      <c r="E12" s="18">
        <v>60</v>
      </c>
    </row>
    <row r="13" spans="1:5" x14ac:dyDescent="0.25">
      <c r="A13" s="3">
        <v>27.69</v>
      </c>
      <c r="B13" s="6">
        <v>33.07</v>
      </c>
      <c r="C13" s="5">
        <v>5.52</v>
      </c>
      <c r="D13" s="18">
        <v>1974.5</v>
      </c>
      <c r="E13" s="18">
        <v>60</v>
      </c>
    </row>
    <row r="14" spans="1:5" x14ac:dyDescent="0.25">
      <c r="A14" s="3">
        <v>27.69</v>
      </c>
      <c r="B14" s="4">
        <v>27.24</v>
      </c>
      <c r="C14" s="5">
        <v>5.71</v>
      </c>
      <c r="D14" s="18">
        <v>2025.78</v>
      </c>
      <c r="E14" s="18">
        <v>60</v>
      </c>
    </row>
    <row r="15" spans="1:5" x14ac:dyDescent="0.25">
      <c r="A15" s="3">
        <v>27.69</v>
      </c>
      <c r="B15" s="4">
        <v>44.85</v>
      </c>
      <c r="C15" s="5">
        <v>3.57</v>
      </c>
      <c r="D15" s="18">
        <v>2035.87</v>
      </c>
      <c r="E15" s="18">
        <v>60</v>
      </c>
    </row>
    <row r="16" spans="1:5" x14ac:dyDescent="0.25">
      <c r="A16" s="14">
        <v>25.71</v>
      </c>
      <c r="B16" s="15">
        <v>43.42</v>
      </c>
      <c r="C16" s="16">
        <v>7.42</v>
      </c>
      <c r="D16" s="19">
        <v>2031.87</v>
      </c>
      <c r="E16" s="19">
        <v>60</v>
      </c>
    </row>
    <row r="17" spans="1:5" x14ac:dyDescent="0.25">
      <c r="A17" s="3">
        <v>25.71</v>
      </c>
      <c r="B17" s="6">
        <v>34.06</v>
      </c>
      <c r="C17" s="5">
        <v>7.2</v>
      </c>
      <c r="D17" s="18">
        <v>1973.38</v>
      </c>
      <c r="E17" s="18">
        <v>60</v>
      </c>
    </row>
    <row r="18" spans="1:5" x14ac:dyDescent="0.25">
      <c r="A18" s="4">
        <v>25.71</v>
      </c>
      <c r="B18" s="4">
        <v>34.270000000000003</v>
      </c>
      <c r="C18" s="4">
        <v>6.99</v>
      </c>
      <c r="D18" s="18">
        <v>1978.25</v>
      </c>
      <c r="E18" s="18">
        <v>60</v>
      </c>
    </row>
    <row r="19" spans="1:5" x14ac:dyDescent="0.25">
      <c r="A19" s="4">
        <v>25.71</v>
      </c>
      <c r="B19" s="4">
        <v>42.93</v>
      </c>
      <c r="C19" s="4">
        <v>7.26</v>
      </c>
      <c r="D19" s="18">
        <v>2035.19</v>
      </c>
      <c r="E19" s="18">
        <v>60</v>
      </c>
    </row>
    <row r="20" spans="1:5" x14ac:dyDescent="0.25">
      <c r="A20" s="3">
        <v>28.57</v>
      </c>
      <c r="B20" s="4">
        <v>5.01</v>
      </c>
      <c r="C20" s="5">
        <f>(B20/0.0019)*10^-3</f>
        <v>2.6368421052631579</v>
      </c>
      <c r="D20" s="18">
        <v>1603.2654484150048</v>
      </c>
      <c r="E20" s="18">
        <v>5.5</v>
      </c>
    </row>
    <row r="21" spans="1:5" x14ac:dyDescent="0.25">
      <c r="A21" s="3">
        <v>28.57</v>
      </c>
      <c r="B21" s="4">
        <v>3.4</v>
      </c>
      <c r="C21" s="5">
        <f>(B21/0.0014)*10^-3</f>
        <v>2.4285714285714284</v>
      </c>
      <c r="D21" s="18">
        <v>1523.2549768307638</v>
      </c>
      <c r="E21" s="18">
        <v>5.5</v>
      </c>
    </row>
    <row r="22" spans="1:5" x14ac:dyDescent="0.25">
      <c r="A22" s="14">
        <v>60</v>
      </c>
      <c r="B22" s="15">
        <v>4.6100000000000003</v>
      </c>
      <c r="C22" s="16">
        <f>(B22/0.0027)*10^-3</f>
        <v>1.7074074074074075</v>
      </c>
      <c r="D22" s="19">
        <v>1543.8338098132529</v>
      </c>
      <c r="E22" s="19">
        <v>5.5</v>
      </c>
    </row>
    <row r="23" spans="1:5" x14ac:dyDescent="0.25">
      <c r="A23" s="3">
        <v>60</v>
      </c>
      <c r="B23" s="4">
        <v>4.12</v>
      </c>
      <c r="C23" s="5">
        <f>(B23/0.0007)*10^-3</f>
        <v>5.8857142857142861</v>
      </c>
      <c r="D23" s="18">
        <v>1530.503057723193</v>
      </c>
      <c r="E23" s="18">
        <v>5.5</v>
      </c>
    </row>
    <row r="24" spans="1:5" x14ac:dyDescent="0.25">
      <c r="A24" s="3">
        <v>60</v>
      </c>
      <c r="B24" s="4">
        <v>4.05</v>
      </c>
      <c r="C24" s="5">
        <f>(B24/0.002)*10^-3</f>
        <v>2.0249999999999999</v>
      </c>
      <c r="D24" s="18">
        <v>1537.9271882937521</v>
      </c>
      <c r="E24" s="18">
        <v>5.5</v>
      </c>
    </row>
    <row r="25" spans="1:5" x14ac:dyDescent="0.25">
      <c r="A25" s="14">
        <v>60</v>
      </c>
      <c r="B25" s="15">
        <v>3.63</v>
      </c>
      <c r="C25" s="16">
        <f>(B25/0.0019)*10^-3</f>
        <v>1.9105263157894736</v>
      </c>
      <c r="D25" s="19">
        <v>1533.2076105221929</v>
      </c>
      <c r="E25" s="19">
        <v>5.5</v>
      </c>
    </row>
    <row r="26" spans="1:5" x14ac:dyDescent="0.25">
      <c r="A26" s="3">
        <v>60</v>
      </c>
      <c r="B26" s="4">
        <v>3.15</v>
      </c>
      <c r="C26" s="5">
        <f>(B26/0.0032)*10^-3</f>
        <v>0.98437499999999989</v>
      </c>
      <c r="D26" s="18">
        <v>1430.3789412686574</v>
      </c>
      <c r="E26" s="18">
        <v>5.5</v>
      </c>
    </row>
    <row r="27" spans="1:5" x14ac:dyDescent="0.25">
      <c r="A27" s="3">
        <v>60</v>
      </c>
      <c r="B27" s="4">
        <v>2.72</v>
      </c>
      <c r="C27" s="5">
        <f>(B27/0.0016)*10^-3</f>
        <v>1.7</v>
      </c>
      <c r="D27" s="18">
        <v>1422.8317823961704</v>
      </c>
      <c r="E27" s="18">
        <v>5.5</v>
      </c>
    </row>
    <row r="28" spans="1:5" x14ac:dyDescent="0.25">
      <c r="A28" s="3">
        <v>60</v>
      </c>
      <c r="B28" s="4">
        <v>2.4900000000000002</v>
      </c>
      <c r="C28" s="5">
        <f>(B28/0.0032)*10^-3</f>
        <v>0.77812500000000007</v>
      </c>
      <c r="D28" s="18">
        <v>1424.2185793371782</v>
      </c>
      <c r="E28" s="18">
        <v>5.5</v>
      </c>
    </row>
    <row r="29" spans="1:5" x14ac:dyDescent="0.25">
      <c r="A29" s="3">
        <v>60</v>
      </c>
      <c r="B29" s="6">
        <v>2.36</v>
      </c>
      <c r="C29" s="5">
        <f>(B29/0.0027)*10^-3</f>
        <v>0.874074074074074</v>
      </c>
      <c r="D29" s="18">
        <v>1416.4016115974844</v>
      </c>
      <c r="E29" s="18">
        <v>5.5</v>
      </c>
    </row>
    <row r="30" spans="1:5" x14ac:dyDescent="0.25">
      <c r="A30" s="7">
        <v>60</v>
      </c>
      <c r="B30" s="8">
        <v>35.4</v>
      </c>
      <c r="C30" s="9">
        <f>(B30/0.0029)*10^-3</f>
        <v>12.206896551724139</v>
      </c>
      <c r="D30" s="20">
        <v>2071.0853455401798</v>
      </c>
      <c r="E30" s="20">
        <v>60</v>
      </c>
    </row>
    <row r="31" spans="1:5" x14ac:dyDescent="0.25">
      <c r="A31" s="3">
        <v>60</v>
      </c>
      <c r="B31" s="4">
        <v>33.17</v>
      </c>
      <c r="C31" s="5">
        <f>(B31/0.0023)*10^-3</f>
        <v>14.421739130434784</v>
      </c>
      <c r="D31" s="18">
        <v>2056.467400823251</v>
      </c>
      <c r="E31" s="18">
        <v>60</v>
      </c>
    </row>
    <row r="32" spans="1:5" x14ac:dyDescent="0.25">
      <c r="A32" s="12">
        <v>60</v>
      </c>
      <c r="B32" s="10">
        <v>32.979999999999997</v>
      </c>
      <c r="C32" s="11">
        <f>(B32/0.0024)*10^-3</f>
        <v>13.741666666666667</v>
      </c>
      <c r="D32" s="21">
        <v>2063.5057888872043</v>
      </c>
      <c r="E32" s="21">
        <v>60</v>
      </c>
    </row>
    <row r="33" spans="1:5" x14ac:dyDescent="0.25">
      <c r="A33" s="3">
        <v>28.57</v>
      </c>
      <c r="B33" s="4">
        <v>4.7</v>
      </c>
      <c r="C33" s="5">
        <f>(B33/0.0029)*10^-3</f>
        <v>1.6206896551724139</v>
      </c>
      <c r="D33" s="18">
        <v>1529.7551527059891</v>
      </c>
      <c r="E33" s="18">
        <v>5.5</v>
      </c>
    </row>
    <row r="34" spans="1:5" x14ac:dyDescent="0.25">
      <c r="A34" s="3">
        <v>28.57</v>
      </c>
      <c r="B34" s="4">
        <v>4.5</v>
      </c>
      <c r="C34" s="5">
        <f>(B34/0.0022)*10^-3</f>
        <v>2.0454545454545454</v>
      </c>
      <c r="D34" s="18">
        <v>1537.8225158138896</v>
      </c>
      <c r="E34" s="18">
        <v>5.5</v>
      </c>
    </row>
    <row r="35" spans="1:5" x14ac:dyDescent="0.25">
      <c r="A35" s="3">
        <v>28.57</v>
      </c>
      <c r="B35" s="4">
        <v>4.1500000000000004</v>
      </c>
      <c r="C35" s="5">
        <f>(B35/0.002)*10^-3</f>
        <v>2.0750000000000002</v>
      </c>
      <c r="D35" s="18">
        <v>1520.9048329962311</v>
      </c>
      <c r="E35" s="18">
        <v>5.5</v>
      </c>
    </row>
    <row r="36" spans="1:5" x14ac:dyDescent="0.25">
      <c r="A36" s="13">
        <v>60</v>
      </c>
      <c r="B36" s="4">
        <v>3.64</v>
      </c>
      <c r="C36" s="5">
        <f>(B36/0.0031)*10^-3</f>
        <v>1.1741935483870969</v>
      </c>
      <c r="D36" s="18">
        <v>1457.6600125253976</v>
      </c>
      <c r="E36" s="18">
        <v>5.5</v>
      </c>
    </row>
    <row r="37" spans="1:5" x14ac:dyDescent="0.25">
      <c r="A37" s="17">
        <v>60</v>
      </c>
      <c r="B37" s="15">
        <v>3.39</v>
      </c>
      <c r="C37" s="16">
        <f>(B37/0.0035)*10^-3</f>
        <v>0.96857142857142853</v>
      </c>
      <c r="D37" s="19">
        <v>1474.4849890723535</v>
      </c>
      <c r="E37" s="19">
        <v>5.5</v>
      </c>
    </row>
    <row r="38" spans="1:5" x14ac:dyDescent="0.25">
      <c r="A38" s="13">
        <v>60</v>
      </c>
      <c r="B38" s="4">
        <v>3.36</v>
      </c>
      <c r="C38" s="5">
        <f>(B38/0.003)*10^-3</f>
        <v>1.1200000000000001</v>
      </c>
      <c r="D38" s="18">
        <v>1440.4377565560119</v>
      </c>
      <c r="E38" s="18">
        <v>5.5</v>
      </c>
    </row>
    <row r="39" spans="1:5" x14ac:dyDescent="0.25">
      <c r="A39" s="13">
        <v>60</v>
      </c>
      <c r="B39" s="5">
        <v>3.03</v>
      </c>
      <c r="C39" s="5">
        <f>(B39/0.0021)*10^-3</f>
        <v>1.4428571428571428</v>
      </c>
      <c r="D39" s="18">
        <v>1456</v>
      </c>
      <c r="E39" s="18">
        <v>5.5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JUNIOR CARRANO</dc:creator>
  <cp:lastModifiedBy>ANDREA JUNIOR CARRANO</cp:lastModifiedBy>
  <dcterms:created xsi:type="dcterms:W3CDTF">2025-05-03T12:21:48Z</dcterms:created>
  <dcterms:modified xsi:type="dcterms:W3CDTF">2025-11-21T12:07:16Z</dcterms:modified>
</cp:coreProperties>
</file>